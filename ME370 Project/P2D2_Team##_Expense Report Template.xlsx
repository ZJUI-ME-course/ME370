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hw\Box\ME 370 Repository\ME 370 Fall 2025\Projects\"/>
    </mc:Choice>
  </mc:AlternateContent>
  <xr:revisionPtr revIDLastSave="11" documentId="13_ncr:1_{698C8984-D8DB-4596-AF2D-49BD118291F0}" xr6:coauthVersionLast="47" xr6:coauthVersionMax="47" xr10:uidLastSave="{E4A5619B-6FC4-4ADE-B471-9FCCAB80D1D4}"/>
  <bookViews>
    <workbookView xWindow="-24000" yWindow="750" windowWidth="25380" windowHeight="14265" firstSheet="1" xr2:uid="{2943F9F8-7EFD-4D39-9E57-24A2F745F9E3}"/>
  </bookViews>
  <sheets>
    <sheet name="Template" sheetId="3" r:id="rId1"/>
    <sheet name="Example" sheetId="1" r:id="rId2"/>
    <sheet name="Drop down menu material" sheetId="2" state="hidden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G13" i="1"/>
  <c r="D16" i="1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6" i="1"/>
  <c r="G7" i="1"/>
  <c r="G5" i="1"/>
  <c r="G8" i="1"/>
  <c r="G9" i="1"/>
  <c r="G10" i="1"/>
  <c r="G11" i="1"/>
  <c r="G12" i="1"/>
  <c r="G14" i="1"/>
  <c r="G15" i="1"/>
  <c r="G16" i="1"/>
  <c r="G17" i="1"/>
  <c r="G18" i="1"/>
  <c r="G19" i="1"/>
  <c r="G20" i="1"/>
  <c r="G21" i="1"/>
  <c r="G22" i="1"/>
  <c r="G4" i="1"/>
  <c r="G3" i="1"/>
  <c r="G22" i="3"/>
  <c r="G23" i="1"/>
</calcChain>
</file>

<file path=xl/sharedStrings.xml><?xml version="1.0" encoding="utf-8"?>
<sst xmlns="http://schemas.openxmlformats.org/spreadsheetml/2006/main" count="103" uniqueCount="65">
  <si>
    <t>Lab section number, day, time: (click on cell to right &amp; select section from drop-down list - click on down arrow in lower right corner)</t>
  </si>
  <si>
    <t>BB1 (13:00-14:20 W)</t>
  </si>
  <si>
    <t xml:space="preserve">Team Number and Names: (in cell to right, enter team number and names of team members) </t>
  </si>
  <si>
    <t>Team 99. Donald Duck, King Kong, Tony Stark, Princess Peach, Minnie Mouse</t>
  </si>
  <si>
    <t>Description</t>
  </si>
  <si>
    <t>Qty/$</t>
  </si>
  <si>
    <t>Unit Price</t>
  </si>
  <si>
    <t>Qty purchased</t>
  </si>
  <si>
    <t>Source (click in space below and use drop-down list)</t>
  </si>
  <si>
    <t>Purpose</t>
  </si>
  <si>
    <t>Total Cost</t>
  </si>
  <si>
    <t>If entering purchase from Jackson Innovation Studio stockroom, it is easiest to copy and paste first three columns of information from the catalog into spreadsheet</t>
  </si>
  <si>
    <t>Click here for Stockroom Catalog Link</t>
  </si>
  <si>
    <t>For 3D printed or laser cut parts, estimate the manufacturing costs using the appropriate entree lines (see Example worksheet).</t>
  </si>
  <si>
    <t>Insert new rows if necessary</t>
  </si>
  <si>
    <t>Total Expenses</t>
  </si>
  <si>
    <t>Total Cost of items from the Innovation Studio cannot exceed $50</t>
  </si>
  <si>
    <t>The expense report should document all incurred costs: spending at Jackson Innovation Studio stockroom, manufacturing costs for printing or laser cutting, estimated cost of “found” items, and personal spending (*Personal spending is not reimbursed. Cost of 3D printed parts on personal printer should be included using the same cost formula for printing in the Jackson Innovation Studio.)</t>
  </si>
  <si>
    <t>L-Bracket, 1"</t>
  </si>
  <si>
    <t>2/$</t>
  </si>
  <si>
    <t>Innovation Studio</t>
  </si>
  <si>
    <t>Secure Bracket 1 and 3</t>
  </si>
  <si>
    <t>Flathead #4, 0.5"</t>
  </si>
  <si>
    <t>20/$</t>
  </si>
  <si>
    <t>Secure brackets to base</t>
  </si>
  <si>
    <t>Washer 3/8", ID: 0.406"</t>
  </si>
  <si>
    <t>12/$1</t>
  </si>
  <si>
    <t>Plastic Barrel Fastener, 1/2" L</t>
  </si>
  <si>
    <t>3 Sets/$1</t>
  </si>
  <si>
    <t>pin joints for two 6-bar linkages</t>
  </si>
  <si>
    <t xml:space="preserve">3D printing (PLA Filament, Innovation Studio) </t>
  </si>
  <si>
    <t>1g/$0.03</t>
  </si>
  <si>
    <t>feet</t>
  </si>
  <si>
    <t>1/8" Acrylic, 12x24"</t>
  </si>
  <si>
    <t>1/$10</t>
  </si>
  <si>
    <t>Base,  spur gears, links</t>
  </si>
  <si>
    <t>Scape 1/8" acrylic (2" x 4" = 2.78% of 12"x24")</t>
  </si>
  <si>
    <t>Found</t>
  </si>
  <si>
    <t>Fabricated Bracket 1 and 3</t>
  </si>
  <si>
    <t>Fuzzy balls</t>
  </si>
  <si>
    <t>2/$1.99</t>
  </si>
  <si>
    <t>Personal Purchase</t>
  </si>
  <si>
    <t>eye balls</t>
  </si>
  <si>
    <t>PLA Filament (personal 3D printer)</t>
  </si>
  <si>
    <t>hands</t>
  </si>
  <si>
    <t>Manufacturing cost for printing</t>
  </si>
  <si>
    <t>$0.025 per cm³</t>
  </si>
  <si>
    <t>Manufacturing cost for laser cutting</t>
  </si>
  <si>
    <t>$0.001/cm</t>
  </si>
  <si>
    <t>base</t>
  </si>
  <si>
    <t>6 spur gears</t>
  </si>
  <si>
    <t>12 links</t>
  </si>
  <si>
    <t>Total cost of items from the Innovation Studio cannot exceed $50</t>
  </si>
  <si>
    <t>BB1 (09:00-10:20 am, R)</t>
  </si>
  <si>
    <t>BB2 (01:30-02:50 pm, R)</t>
  </si>
  <si>
    <t>BB3 (03:00-04:20 pm, R)</t>
  </si>
  <si>
    <t>BB4 (12:00-1:20 pm, F)</t>
  </si>
  <si>
    <t>BB5 (04:30-05:50pm, R)</t>
  </si>
  <si>
    <t>BB6 (01:30-02:50pm, T)</t>
  </si>
  <si>
    <t>CB1 (10:30-11:50 am, R)</t>
  </si>
  <si>
    <t>CB2 (12:00-1:20 pm, R)</t>
  </si>
  <si>
    <t>CB3 (10:30-11:50 am, F)</t>
  </si>
  <si>
    <t>CB4 (01:30-2:50 pm, F)</t>
  </si>
  <si>
    <t>CB5 (03:00-04:20 pm, F)</t>
  </si>
  <si>
    <t>CB6 (03:00-04:20 pm, 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</si>
</sst>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[$$-409]* #,##0.000_);_([$$-409]* \(#,##0.000\);_([$$-409]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rgb="FF27354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0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 applyBorder="1"/>
    <xf numFmtId="0" fontId="0" fillId="0" borderId="0" xfId="1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0" borderId="0" xfId="1" applyNumberFormat="1" applyFont="1" applyAlignment="1">
      <alignment wrapText="1"/>
    </xf>
    <xf numFmtId="164" fontId="0" fillId="0" borderId="0" xfId="0" applyNumberFormat="1" applyAlignment="1">
      <alignment wrapText="1"/>
    </xf>
    <xf numFmtId="0" fontId="5" fillId="0" borderId="0" xfId="0" applyFont="1"/>
    <xf numFmtId="164" fontId="5" fillId="0" borderId="0" xfId="1" applyNumberFormat="1" applyFont="1"/>
    <xf numFmtId="0" fontId="5" fillId="0" borderId="0" xfId="1" applyNumberFormat="1" applyFont="1" applyAlignment="1">
      <alignment horizontal="center" vertical="center" wrapText="1"/>
    </xf>
    <xf numFmtId="164" fontId="5" fillId="0" borderId="0" xfId="0" applyNumberFormat="1" applyFont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/>
    </xf>
    <xf numFmtId="0" fontId="4" fillId="0" borderId="0" xfId="2"/>
    <xf numFmtId="0" fontId="5" fillId="0" borderId="0" xfId="0" applyFont="1" applyAlignment="1">
      <alignment horizontal="center"/>
    </xf>
    <xf numFmtId="164" fontId="0" fillId="0" borderId="0" xfId="1" applyNumberFormat="1" applyFont="1" applyAlignment="1"/>
    <xf numFmtId="164" fontId="5" fillId="0" borderId="0" xfId="1" applyNumberFormat="1" applyFont="1" applyAlignment="1"/>
    <xf numFmtId="164" fontId="2" fillId="0" borderId="0" xfId="1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/>
    <xf numFmtId="0" fontId="2" fillId="0" borderId="0" xfId="0" applyFont="1" applyFill="1" applyBorder="1" applyAlignment="1">
      <alignment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 wrapText="1"/>
    </xf>
    <xf numFmtId="164" fontId="2" fillId="0" borderId="0" xfId="1" applyNumberFormat="1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1" applyNumberFormat="1" applyFont="1" applyBorder="1" applyAlignment="1"/>
    <xf numFmtId="165" fontId="0" fillId="0" borderId="0" xfId="1" applyNumberFormat="1" applyFont="1" applyBorder="1" applyAlignment="1"/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9iFsIeNSVlpb3mRsQ6xO_TIcKsF_Z2XOxtY5RyyS6aY/edit?gid=190427495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google.com/spreadsheets/d/19iFsIeNSVlpb3mRsQ6xO_TIcKsF_Z2XOxtY5RyyS6aY/edit?gid=190427495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9192-A572-4E75-BD0D-FFA592E858D6}">
  <dimension ref="A1:N26"/>
  <sheetViews>
    <sheetView tabSelected="1" topLeftCell="A2" workbookViewId="0">
      <selection activeCell="I14" sqref="I14"/>
    </sheetView>
  </sheetViews>
  <sheetFormatPr defaultRowHeight="14.45"/>
  <cols>
    <col min="1" max="1" width="38.85546875" bestFit="1" customWidth="1"/>
    <col min="3" max="3" width="8.7109375" style="1"/>
    <col min="4" max="4" width="10.140625" style="5" bestFit="1" customWidth="1"/>
    <col min="5" max="5" width="29.42578125" customWidth="1"/>
    <col min="6" max="6" width="34.85546875" customWidth="1"/>
    <col min="7" max="7" width="11.140625" style="2" bestFit="1" customWidth="1"/>
  </cols>
  <sheetData>
    <row r="1" spans="1:14" s="31" customFormat="1" ht="69.95" customHeight="1" thickBot="1">
      <c r="A1" s="35" t="s">
        <v>0</v>
      </c>
      <c r="B1" s="36" t="s">
        <v>1</v>
      </c>
      <c r="D1" s="32"/>
      <c r="E1" s="35" t="s">
        <v>2</v>
      </c>
      <c r="F1" s="36" t="s">
        <v>3</v>
      </c>
    </row>
    <row r="2" spans="1:14" s="3" customFormat="1" ht="47.45" customHeight="1" thickBot="1">
      <c r="A2" s="18" t="s">
        <v>4</v>
      </c>
      <c r="B2" s="19" t="s">
        <v>5</v>
      </c>
      <c r="C2" s="20" t="s">
        <v>6</v>
      </c>
      <c r="D2" s="21" t="s">
        <v>7</v>
      </c>
      <c r="E2" s="22" t="s">
        <v>8</v>
      </c>
      <c r="F2" s="19" t="s">
        <v>9</v>
      </c>
      <c r="G2" s="23" t="s">
        <v>10</v>
      </c>
    </row>
    <row r="3" spans="1:14">
      <c r="A3" s="30"/>
      <c r="B3" s="10"/>
      <c r="C3" s="7"/>
      <c r="D3" s="8"/>
      <c r="F3" s="31"/>
      <c r="G3" s="2">
        <f t="shared" ref="G3:G10" si="0">C3*D3</f>
        <v>0</v>
      </c>
      <c r="I3" s="49" t="s">
        <v>11</v>
      </c>
      <c r="J3" s="49"/>
      <c r="K3" s="49"/>
      <c r="L3" s="49"/>
      <c r="M3" s="49"/>
      <c r="N3" s="49"/>
    </row>
    <row r="4" spans="1:14">
      <c r="A4" s="29"/>
      <c r="B4" s="6"/>
      <c r="C4" s="9"/>
      <c r="D4" s="6"/>
      <c r="F4" s="31"/>
      <c r="G4" s="2">
        <f t="shared" si="0"/>
        <v>0</v>
      </c>
      <c r="I4" s="49"/>
      <c r="J4" s="49"/>
      <c r="K4" s="49"/>
      <c r="L4" s="49"/>
      <c r="M4" s="49"/>
      <c r="N4" s="49"/>
    </row>
    <row r="5" spans="1:14">
      <c r="A5" s="29"/>
      <c r="B5" s="6"/>
      <c r="C5" s="28"/>
      <c r="D5" s="8"/>
      <c r="F5" s="31"/>
      <c r="G5" s="2">
        <f t="shared" si="0"/>
        <v>0</v>
      </c>
      <c r="I5" s="49"/>
      <c r="J5" s="49"/>
      <c r="K5" s="49"/>
      <c r="L5" s="49"/>
      <c r="M5" s="49"/>
      <c r="N5" s="49"/>
    </row>
    <row r="6" spans="1:14">
      <c r="A6" s="29"/>
      <c r="B6" s="6"/>
      <c r="C6" s="9"/>
      <c r="D6" s="8"/>
      <c r="F6" s="31"/>
      <c r="G6" s="2">
        <f t="shared" si="0"/>
        <v>0</v>
      </c>
      <c r="I6" s="24" t="s">
        <v>12</v>
      </c>
    </row>
    <row r="7" spans="1:14" ht="15">
      <c r="A7" s="29"/>
      <c r="B7" s="6"/>
      <c r="C7" s="9"/>
      <c r="D7" s="8"/>
      <c r="F7" s="31"/>
      <c r="G7" s="2">
        <f t="shared" si="0"/>
        <v>0</v>
      </c>
    </row>
    <row r="8" spans="1:14" ht="14.45" customHeight="1">
      <c r="A8" s="29"/>
      <c r="B8" s="6"/>
      <c r="C8" s="9"/>
      <c r="D8" s="8"/>
      <c r="F8" s="31"/>
      <c r="G8" s="2">
        <f t="shared" si="0"/>
        <v>0</v>
      </c>
      <c r="I8" s="50" t="s">
        <v>13</v>
      </c>
      <c r="J8" s="50"/>
      <c r="K8" s="50"/>
      <c r="L8" s="50"/>
      <c r="M8" s="50"/>
      <c r="N8" s="50"/>
    </row>
    <row r="9" spans="1:14" ht="14.45" customHeight="1">
      <c r="A9" s="31"/>
      <c r="B9" s="10"/>
      <c r="F9" s="31"/>
      <c r="G9" s="2">
        <f t="shared" si="0"/>
        <v>0</v>
      </c>
      <c r="I9" s="50"/>
      <c r="J9" s="50"/>
      <c r="K9" s="50"/>
      <c r="L9" s="50"/>
      <c r="M9" s="50"/>
      <c r="N9" s="50"/>
    </row>
    <row r="10" spans="1:14" ht="14.45" customHeight="1">
      <c r="A10" s="31"/>
      <c r="B10" s="6"/>
      <c r="F10" s="31"/>
      <c r="G10" s="2">
        <f t="shared" si="0"/>
        <v>0</v>
      </c>
      <c r="I10" s="50"/>
      <c r="J10" s="50"/>
      <c r="K10" s="50"/>
      <c r="L10" s="50"/>
      <c r="M10" s="50"/>
      <c r="N10" s="50"/>
    </row>
    <row r="11" spans="1:14" ht="15">
      <c r="A11" s="31"/>
      <c r="B11" s="10"/>
      <c r="F11" s="31"/>
      <c r="G11" s="2">
        <f t="shared" ref="G11:G21" si="1">C11*D11</f>
        <v>0</v>
      </c>
    </row>
    <row r="12" spans="1:14">
      <c r="A12" s="31"/>
      <c r="B12" s="10"/>
      <c r="F12" s="31"/>
      <c r="G12" s="2">
        <f t="shared" si="1"/>
        <v>0</v>
      </c>
    </row>
    <row r="13" spans="1:14">
      <c r="A13" s="31"/>
      <c r="B13" s="10"/>
      <c r="F13" s="31"/>
      <c r="G13" s="2">
        <f t="shared" si="1"/>
        <v>0</v>
      </c>
    </row>
    <row r="14" spans="1:14">
      <c r="A14" s="31"/>
      <c r="B14" s="10"/>
      <c r="F14" s="31"/>
      <c r="G14" s="2">
        <f t="shared" si="1"/>
        <v>0</v>
      </c>
    </row>
    <row r="15" spans="1:14">
      <c r="A15" s="31"/>
      <c r="B15" s="10"/>
      <c r="F15" s="31"/>
      <c r="G15" s="2">
        <f t="shared" si="1"/>
        <v>0</v>
      </c>
    </row>
    <row r="16" spans="1:14">
      <c r="A16" s="31"/>
      <c r="B16" s="10"/>
      <c r="F16" s="31"/>
      <c r="G16" s="2">
        <f t="shared" si="1"/>
        <v>0</v>
      </c>
    </row>
    <row r="17" spans="1:9">
      <c r="A17" s="31"/>
      <c r="B17" s="10"/>
      <c r="F17" s="31"/>
      <c r="G17" s="2">
        <f t="shared" si="1"/>
        <v>0</v>
      </c>
    </row>
    <row r="18" spans="1:9">
      <c r="A18" s="31"/>
      <c r="B18" s="10"/>
      <c r="F18" s="31"/>
      <c r="G18" s="2">
        <f t="shared" si="1"/>
        <v>0</v>
      </c>
    </row>
    <row r="19" spans="1:9">
      <c r="A19" s="31"/>
      <c r="B19" s="10"/>
      <c r="F19" s="31"/>
      <c r="G19" s="2">
        <f t="shared" si="1"/>
        <v>0</v>
      </c>
    </row>
    <row r="20" spans="1:9">
      <c r="A20" s="31"/>
      <c r="B20" s="10"/>
      <c r="F20" s="31"/>
      <c r="G20" s="2">
        <f t="shared" si="1"/>
        <v>0</v>
      </c>
    </row>
    <row r="21" spans="1:9">
      <c r="A21" s="31"/>
      <c r="B21" s="10"/>
      <c r="F21" s="31"/>
      <c r="G21" s="2">
        <f t="shared" si="1"/>
        <v>0</v>
      </c>
      <c r="I21" t="s">
        <v>14</v>
      </c>
    </row>
    <row r="22" spans="1:9">
      <c r="E22" t="s">
        <v>15</v>
      </c>
      <c r="G22" s="2">
        <f>SUM(G3:G21)</f>
        <v>0</v>
      </c>
    </row>
    <row r="24" spans="1:9" ht="15.6">
      <c r="A24" s="14" t="s">
        <v>16</v>
      </c>
      <c r="B24" s="14"/>
      <c r="C24" s="15"/>
      <c r="D24" s="16"/>
      <c r="E24" s="14"/>
      <c r="F24" s="14"/>
      <c r="G24" s="17"/>
    </row>
    <row r="25" spans="1:9" ht="57.6" customHeight="1">
      <c r="A25" s="48" t="s">
        <v>17</v>
      </c>
      <c r="B25" s="48"/>
      <c r="C25" s="48"/>
      <c r="D25" s="48"/>
      <c r="E25" s="48"/>
      <c r="F25" s="48"/>
      <c r="G25" s="48"/>
    </row>
    <row r="26" spans="1:9">
      <c r="A26" s="11"/>
      <c r="B26" s="11"/>
      <c r="C26" s="12"/>
      <c r="E26" s="11"/>
      <c r="F26" s="11"/>
      <c r="G26" s="13"/>
    </row>
  </sheetData>
  <mergeCells count="3">
    <mergeCell ref="A25:G25"/>
    <mergeCell ref="I3:N5"/>
    <mergeCell ref="I8:N10"/>
  </mergeCells>
  <dataValidations count="1">
    <dataValidation type="list" allowBlank="1" showInputMessage="1" showErrorMessage="1" sqref="B1" xr:uid="{37A176E1-3499-4F72-BA68-FF23AAD189D0}">
      <formula1>" BB1 (13:00-14:20 W), BB2 (09:00-10:20 R), BB3 (15:00-16:20 R), BB4 (16:30-17:50  R), BB5 (10:30-11:50 F), BB6 (12:00-13:20 F), CB1 (14:30-15:50 W), CB2 (10:30-11:50  R), CB3 (12:00-13:20  R), CB4 (13:30-14:50 R), CB5 (13:30-14:50 F), CB6 (15:00-16:20 F)"</formula1>
    </dataValidation>
  </dataValidations>
  <hyperlinks>
    <hyperlink ref="I6" r:id="rId1" location="gid=1904274958" xr:uid="{00605684-6FC3-45B4-8014-66C515B42B5C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8018FE-D45F-4ECC-AFF0-8A1EDB588BCE}">
          <x14:formula1>
            <xm:f>'Drop down menu material'!$B$1:$B$3</xm:f>
          </x14:formula1>
          <xm:sqref>E3:E21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F214-A7D8-415E-A237-303078EFE960}">
  <dimension ref="A1:N27"/>
  <sheetViews>
    <sheetView workbookViewId="0">
      <selection activeCell="I12" sqref="I12:N14"/>
    </sheetView>
  </sheetViews>
  <sheetFormatPr defaultRowHeight="14.45"/>
  <cols>
    <col min="1" max="1" width="38.85546875" bestFit="1" customWidth="1"/>
    <col min="2" max="2" width="13.28515625" style="10" bestFit="1" customWidth="1"/>
    <col min="3" max="3" width="9.140625" style="26" customWidth="1"/>
    <col min="4" max="4" width="10.140625" style="5" bestFit="1" customWidth="1"/>
    <col min="5" max="5" width="29.42578125" customWidth="1"/>
    <col min="6" max="6" width="34.85546875" customWidth="1"/>
    <col min="7" max="7" width="11.140625" style="2" bestFit="1" customWidth="1"/>
  </cols>
  <sheetData>
    <row r="1" spans="1:14" s="31" customFormat="1" ht="71.45" customHeight="1" thickBot="1">
      <c r="A1" s="35" t="s">
        <v>0</v>
      </c>
      <c r="B1" s="36" t="s">
        <v>1</v>
      </c>
      <c r="D1" s="32"/>
      <c r="E1" s="35" t="s">
        <v>2</v>
      </c>
      <c r="F1" s="36" t="s">
        <v>3</v>
      </c>
    </row>
    <row r="2" spans="1:14" s="3" customFormat="1" ht="45.95" customHeight="1" thickBot="1">
      <c r="A2" s="18" t="s">
        <v>4</v>
      </c>
      <c r="B2" s="19" t="s">
        <v>5</v>
      </c>
      <c r="C2" s="39" t="s">
        <v>6</v>
      </c>
      <c r="D2" s="21" t="s">
        <v>7</v>
      </c>
      <c r="E2" s="22" t="s">
        <v>8</v>
      </c>
      <c r="F2" s="19" t="s">
        <v>9</v>
      </c>
      <c r="G2" s="23" t="s">
        <v>10</v>
      </c>
    </row>
    <row r="3" spans="1:14">
      <c r="A3" s="4" t="s">
        <v>18</v>
      </c>
      <c r="B3" s="10" t="s">
        <v>19</v>
      </c>
      <c r="C3" s="26">
        <v>0.5</v>
      </c>
      <c r="D3" s="5">
        <v>2</v>
      </c>
      <c r="E3" t="s">
        <v>20</v>
      </c>
      <c r="F3" t="s">
        <v>21</v>
      </c>
      <c r="G3" s="2">
        <f>C3*D3</f>
        <v>1</v>
      </c>
      <c r="I3" s="49" t="s">
        <v>11</v>
      </c>
      <c r="J3" s="49"/>
      <c r="K3" s="49"/>
      <c r="L3" s="49"/>
      <c r="M3" s="49"/>
      <c r="N3" s="49"/>
    </row>
    <row r="4" spans="1:14">
      <c r="A4" s="40" t="s">
        <v>22</v>
      </c>
      <c r="B4" s="41" t="s">
        <v>23</v>
      </c>
      <c r="C4" s="42">
        <v>0.05</v>
      </c>
      <c r="D4" s="6">
        <v>1</v>
      </c>
      <c r="E4" t="s">
        <v>20</v>
      </c>
      <c r="F4" t="s">
        <v>24</v>
      </c>
      <c r="G4" s="2">
        <f>C4*D4</f>
        <v>0.05</v>
      </c>
      <c r="I4" s="49"/>
      <c r="J4" s="49"/>
      <c r="K4" s="49"/>
      <c r="L4" s="49"/>
      <c r="M4" s="49"/>
      <c r="N4" s="49"/>
    </row>
    <row r="5" spans="1:14">
      <c r="A5" s="40" t="s">
        <v>25</v>
      </c>
      <c r="B5" s="41" t="s">
        <v>26</v>
      </c>
      <c r="C5" s="43">
        <v>8.3000000000000004E-2</v>
      </c>
      <c r="D5" s="5">
        <v>1</v>
      </c>
      <c r="E5" t="s">
        <v>20</v>
      </c>
      <c r="F5" t="s">
        <v>24</v>
      </c>
      <c r="G5" s="2">
        <f t="shared" ref="G5:G22" si="0">C5*D5</f>
        <v>8.3000000000000004E-2</v>
      </c>
      <c r="I5" s="49"/>
      <c r="J5" s="49"/>
      <c r="K5" s="49"/>
      <c r="L5" s="49"/>
      <c r="M5" s="49"/>
      <c r="N5" s="49"/>
    </row>
    <row r="6" spans="1:14">
      <c r="A6" s="40" t="s">
        <v>27</v>
      </c>
      <c r="B6" s="41" t="s">
        <v>28</v>
      </c>
      <c r="C6" s="42">
        <v>0.33300000000000002</v>
      </c>
      <c r="D6" s="5">
        <v>4</v>
      </c>
      <c r="E6" t="s">
        <v>20</v>
      </c>
      <c r="F6" t="s">
        <v>29</v>
      </c>
      <c r="G6" s="2">
        <f t="shared" si="0"/>
        <v>1.3320000000000001</v>
      </c>
      <c r="I6" s="24" t="s">
        <v>12</v>
      </c>
    </row>
    <row r="7" spans="1:14">
      <c r="A7" s="40" t="s">
        <v>30</v>
      </c>
      <c r="B7" s="41" t="s">
        <v>31</v>
      </c>
      <c r="C7" s="42">
        <v>0.03</v>
      </c>
      <c r="D7" s="5">
        <v>100</v>
      </c>
      <c r="E7" t="s">
        <v>20</v>
      </c>
      <c r="F7" t="s">
        <v>32</v>
      </c>
      <c r="G7" s="2">
        <f t="shared" si="0"/>
        <v>3</v>
      </c>
    </row>
    <row r="8" spans="1:14">
      <c r="A8" s="40" t="s">
        <v>33</v>
      </c>
      <c r="B8" s="41" t="s">
        <v>34</v>
      </c>
      <c r="C8" s="42">
        <v>10</v>
      </c>
      <c r="D8" s="5">
        <v>1</v>
      </c>
      <c r="E8" t="s">
        <v>20</v>
      </c>
      <c r="F8" t="s">
        <v>35</v>
      </c>
      <c r="G8" s="2">
        <f t="shared" si="0"/>
        <v>10</v>
      </c>
    </row>
    <row r="9" spans="1:14" ht="15">
      <c r="A9" s="44" t="s">
        <v>36</v>
      </c>
      <c r="B9" s="45"/>
      <c r="C9" s="46">
        <v>2.78</v>
      </c>
      <c r="D9" s="5">
        <v>1</v>
      </c>
      <c r="E9" t="s">
        <v>37</v>
      </c>
      <c r="F9" t="s">
        <v>38</v>
      </c>
      <c r="G9" s="2">
        <f t="shared" si="0"/>
        <v>2.78</v>
      </c>
    </row>
    <row r="10" spans="1:14" ht="15">
      <c r="A10" s="44" t="s">
        <v>39</v>
      </c>
      <c r="B10" s="41" t="s">
        <v>40</v>
      </c>
      <c r="C10" s="46">
        <v>2.21</v>
      </c>
      <c r="D10" s="5">
        <v>1</v>
      </c>
      <c r="E10" t="s">
        <v>41</v>
      </c>
      <c r="F10" t="s">
        <v>42</v>
      </c>
      <c r="G10" s="2">
        <f t="shared" si="0"/>
        <v>2.21</v>
      </c>
    </row>
    <row r="11" spans="1:14" ht="15">
      <c r="A11" s="40" t="s">
        <v>43</v>
      </c>
      <c r="B11" s="41" t="s">
        <v>31</v>
      </c>
      <c r="C11" s="42">
        <v>0.03</v>
      </c>
      <c r="D11" s="5">
        <v>100</v>
      </c>
      <c r="E11" t="s">
        <v>41</v>
      </c>
      <c r="F11" t="s">
        <v>44</v>
      </c>
      <c r="G11" s="2">
        <f t="shared" si="0"/>
        <v>3</v>
      </c>
    </row>
    <row r="12" spans="1:14" ht="15" customHeight="1">
      <c r="A12" s="38" t="s">
        <v>45</v>
      </c>
      <c r="B12" s="45" t="s">
        <v>46</v>
      </c>
      <c r="C12" s="47">
        <v>2.5000000000000001E-2</v>
      </c>
      <c r="D12" s="5">
        <v>60</v>
      </c>
      <c r="E12" t="s">
        <v>20</v>
      </c>
      <c r="F12" t="s">
        <v>32</v>
      </c>
      <c r="G12" s="2">
        <f t="shared" si="0"/>
        <v>1.5</v>
      </c>
      <c r="I12" s="50" t="s">
        <v>13</v>
      </c>
      <c r="J12" s="50"/>
      <c r="K12" s="50"/>
      <c r="L12" s="50"/>
      <c r="M12" s="50"/>
      <c r="N12" s="50"/>
    </row>
    <row r="13" spans="1:14" ht="15">
      <c r="A13" s="38" t="s">
        <v>45</v>
      </c>
      <c r="B13" s="45" t="s">
        <v>46</v>
      </c>
      <c r="C13" s="47">
        <v>2.5000000000000001E-2</v>
      </c>
      <c r="D13" s="5">
        <v>60</v>
      </c>
      <c r="E13" t="s">
        <v>41</v>
      </c>
      <c r="F13" t="s">
        <v>44</v>
      </c>
      <c r="G13" s="2">
        <f t="shared" si="0"/>
        <v>1.5</v>
      </c>
      <c r="I13" s="50"/>
      <c r="J13" s="50"/>
      <c r="K13" s="50"/>
      <c r="L13" s="50"/>
      <c r="M13" s="50"/>
      <c r="N13" s="50"/>
    </row>
    <row r="14" spans="1:14" ht="14.45" customHeight="1">
      <c r="A14" s="38" t="s">
        <v>47</v>
      </c>
      <c r="B14" s="45" t="s">
        <v>48</v>
      </c>
      <c r="C14" s="47">
        <v>1E-3</v>
      </c>
      <c r="D14" s="5">
        <f>2*(18*30)</f>
        <v>1080</v>
      </c>
      <c r="F14" t="s">
        <v>49</v>
      </c>
      <c r="G14" s="2">
        <f t="shared" si="0"/>
        <v>1.08</v>
      </c>
      <c r="I14" s="50"/>
      <c r="J14" s="50"/>
      <c r="K14" s="50"/>
      <c r="L14" s="50"/>
      <c r="M14" s="50"/>
      <c r="N14" s="50"/>
    </row>
    <row r="15" spans="1:14" ht="15">
      <c r="A15" s="38" t="s">
        <v>47</v>
      </c>
      <c r="B15" s="45" t="s">
        <v>48</v>
      </c>
      <c r="C15" s="47">
        <v>1E-3</v>
      </c>
      <c r="D15" s="5">
        <v>500</v>
      </c>
      <c r="F15" t="s">
        <v>50</v>
      </c>
      <c r="G15" s="2">
        <f t="shared" si="0"/>
        <v>0.5</v>
      </c>
    </row>
    <row r="16" spans="1:14">
      <c r="A16" s="38" t="s">
        <v>47</v>
      </c>
      <c r="B16" s="45" t="s">
        <v>48</v>
      </c>
      <c r="C16" s="47">
        <v>1E-3</v>
      </c>
      <c r="D16" s="5">
        <f>6*(2*(1*8)) + 6*(2*(1*5))</f>
        <v>156</v>
      </c>
      <c r="F16" t="s">
        <v>51</v>
      </c>
      <c r="G16" s="2">
        <f t="shared" si="0"/>
        <v>0.156</v>
      </c>
    </row>
    <row r="17" spans="1:9">
      <c r="G17" s="2">
        <f t="shared" si="0"/>
        <v>0</v>
      </c>
    </row>
    <row r="18" spans="1:9">
      <c r="G18" s="2">
        <f t="shared" si="0"/>
        <v>0</v>
      </c>
    </row>
    <row r="19" spans="1:9">
      <c r="G19" s="2">
        <f t="shared" si="0"/>
        <v>0</v>
      </c>
    </row>
    <row r="20" spans="1:9">
      <c r="G20" s="2">
        <f t="shared" si="0"/>
        <v>0</v>
      </c>
    </row>
    <row r="21" spans="1:9">
      <c r="G21" s="2">
        <f t="shared" si="0"/>
        <v>0</v>
      </c>
    </row>
    <row r="22" spans="1:9">
      <c r="G22" s="2">
        <f t="shared" si="0"/>
        <v>0</v>
      </c>
      <c r="I22" t="s">
        <v>14</v>
      </c>
    </row>
    <row r="23" spans="1:9">
      <c r="E23" t="s">
        <v>15</v>
      </c>
      <c r="G23" s="2">
        <f>SUM(G3:G22)</f>
        <v>28.191000000000003</v>
      </c>
    </row>
    <row r="25" spans="1:9">
      <c r="E25" s="37"/>
    </row>
    <row r="26" spans="1:9" ht="15.6">
      <c r="A26" s="14" t="s">
        <v>52</v>
      </c>
      <c r="B26" s="25"/>
      <c r="C26" s="27"/>
      <c r="D26" s="16"/>
      <c r="E26" s="14"/>
      <c r="F26" s="14"/>
      <c r="G26" s="17"/>
    </row>
    <row r="27" spans="1:9" ht="57.95" customHeight="1">
      <c r="A27" s="48" t="s">
        <v>17</v>
      </c>
      <c r="B27" s="48"/>
      <c r="C27" s="48"/>
      <c r="D27" s="48"/>
      <c r="E27" s="48"/>
      <c r="F27" s="48"/>
      <c r="G27" s="48"/>
    </row>
  </sheetData>
  <mergeCells count="3">
    <mergeCell ref="I3:N5"/>
    <mergeCell ref="A27:G27"/>
    <mergeCell ref="I12:N14"/>
  </mergeCells>
  <phoneticPr fontId="8" type="noConversion"/>
  <dataValidations count="1">
    <dataValidation type="list" allowBlank="1" showInputMessage="1" showErrorMessage="1" sqref="B1" xr:uid="{5855904D-CC52-4949-95F7-FF4472A8F5BB}">
      <formula1>" BB1 (13:00-14:20 W), BB2 (09:00-10:20 R), BB3 (15:00-16:20 R), BB4 (16:30-17:50  R), BB5 (10:30-11:50 F), BB6 (12:00-13:20 F), CB1 (14:30-15:50 W), CB2 (10:30-11:50  R), CB3 (12:00-13:20  R), CB4 (13:30-14:50 R), CB5 (13:30-14:50 F), CB6 (15:00-16:20 F)"</formula1>
    </dataValidation>
  </dataValidations>
  <hyperlinks>
    <hyperlink ref="I6" r:id="rId1" location="gid=1904274958" xr:uid="{206CCE61-76BC-48EF-973F-CBEF30AA1A4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84B85D-9FCA-4325-B04A-8F90CE8ABAD1}">
          <x14:formula1>
            <xm:f>'Drop down menu material'!$B$1:$B$3</xm:f>
          </x14:formula1>
          <xm:sqref>E3:E22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378F-C31F-496A-92CB-B8CB68D63E0E}">
  <dimension ref="B1:B24"/>
  <sheetViews>
    <sheetView workbookViewId="0">
      <selection activeCell="B18" sqref="B18"/>
    </sheetView>
  </sheetViews>
  <sheetFormatPr defaultRowHeight="26.1"/>
  <cols>
    <col min="2" max="2" width="37.5703125" style="33" bestFit="1" customWidth="1"/>
  </cols>
  <sheetData>
    <row r="1" spans="2:2">
      <c r="B1" s="33" t="s">
        <v>20</v>
      </c>
    </row>
    <row r="2" spans="2:2">
      <c r="B2" s="33" t="s">
        <v>37</v>
      </c>
    </row>
    <row r="3" spans="2:2">
      <c r="B3" s="33" t="s">
        <v>41</v>
      </c>
    </row>
    <row r="5" spans="2:2">
      <c r="B5" s="34"/>
    </row>
    <row r="6" spans="2:2">
      <c r="B6" s="34"/>
    </row>
    <row r="7" spans="2:2" ht="20.100000000000001" customHeight="1">
      <c r="B7" s="33" t="s">
        <v>53</v>
      </c>
    </row>
    <row r="8" spans="2:2" ht="20.100000000000001" customHeight="1">
      <c r="B8" s="33" t="s">
        <v>54</v>
      </c>
    </row>
    <row r="9" spans="2:2" ht="20.100000000000001" customHeight="1">
      <c r="B9" s="33" t="s">
        <v>55</v>
      </c>
    </row>
    <row r="10" spans="2:2" ht="20.100000000000001" customHeight="1">
      <c r="B10" s="33" t="s">
        <v>56</v>
      </c>
    </row>
    <row r="11" spans="2:2" ht="20.100000000000001" customHeight="1">
      <c r="B11" s="33" t="s">
        <v>57</v>
      </c>
    </row>
    <row r="12" spans="2:2" ht="20.100000000000001" customHeight="1">
      <c r="B12" s="33" t="s">
        <v>58</v>
      </c>
    </row>
    <row r="13" spans="2:2" ht="20.100000000000001" customHeight="1">
      <c r="B13" s="33" t="s">
        <v>59</v>
      </c>
    </row>
    <row r="14" spans="2:2" ht="20.100000000000001" customHeight="1">
      <c r="B14" s="33" t="s">
        <v>60</v>
      </c>
    </row>
    <row r="15" spans="2:2" ht="20.100000000000001" customHeight="1">
      <c r="B15" s="33" t="s">
        <v>61</v>
      </c>
    </row>
    <row r="16" spans="2:2" ht="20.100000000000001" customHeight="1">
      <c r="B16" s="33" t="s">
        <v>62</v>
      </c>
    </row>
    <row r="17" spans="2:2" ht="20.100000000000001" customHeight="1">
      <c r="B17" s="33" t="s">
        <v>63</v>
      </c>
    </row>
    <row r="18" spans="2:2" ht="20.100000000000001" customHeight="1">
      <c r="B18" s="33" t="s">
        <v>64</v>
      </c>
    </row>
    <row r="19" spans="2:2" ht="20.100000000000001" customHeight="1"/>
    <row r="20" spans="2:2" ht="20.100000000000001" customHeight="1"/>
    <row r="21" spans="2:2" ht="20.100000000000001" customHeight="1"/>
    <row r="22" spans="2:2" ht="20.100000000000001" customHeight="1"/>
    <row r="23" spans="2:2" ht="20.100000000000001" customHeight="1"/>
    <row r="24" spans="2:2" ht="20.100000000000001" customHeight="1"/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Hsiao-Wecksler, Elizabeth T</dc:creator>
  <cp:keywords/>
  <dc:description/>
  <cp:lastModifiedBy>Elizabeth Hsiao-Wecksler</cp:lastModifiedBy>
  <cp:revision/>
  <dcterms:created xsi:type="dcterms:W3CDTF">2024-09-26T22:44:46Z</dcterms:created>
  <dcterms:modified xsi:type="dcterms:W3CDTF">2025-09-30T21:14:29Z</dcterms:modified>
  <cp:category/>
  <cp:contentStatus/>
</cp:coreProperties>
</file>